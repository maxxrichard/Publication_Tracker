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0c147a19984e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ublications" sheetId="1" r:id="R204c9f4dba3a43e3"/>
    <x:sheet xmlns:r="http://schemas.openxmlformats.org/officeDocument/2006/relationships" name="Dashboard" sheetId="2" r:id="Rcf2df7da2e5b44fc"/>
    <x:sheet xmlns:r="http://schemas.openxmlformats.org/officeDocument/2006/relationships" name="Lists" sheetId="3" r:id="Re1944193171946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mm d, yyyy"/>
  </x:numFmts>
  <x:fonts count="12">
    <x:font>
      <x:sz val="11"/>
      <x:name val="Carlito"/>
    </x:font>
    <x:font>
      <x:b/>
      <x:sz val="11"/>
      <x:color rgb="FFFFFFFF"/>
      <x:name val="Carlito"/>
    </x:font>
    <x:font>
      <x:sz val="10"/>
      <x:color rgb="FF172033"/>
      <x:name val="Carlito"/>
    </x:font>
    <x:font>
      <x:b/>
      <x:sz val="22"/>
      <x:color rgb="FFFFFFFF"/>
      <x:name val="Carlito"/>
    </x:font>
    <x:font>
      <x:b/>
      <x:sz val="11"/>
      <x:color rgb="FF166534"/>
      <x:name val="Carlito"/>
    </x:font>
    <x:font>
      <x:b/>
      <x:sz val="11"/>
      <x:color rgb="FF1E40AF"/>
      <x:name val="Carlito"/>
    </x:font>
    <x:font>
      <x:b/>
      <x:sz val="11"/>
      <x:color rgb="FF92400E"/>
      <x:name val="Carlito"/>
    </x:font>
    <x:font>
      <x:b/>
      <x:sz val="24"/>
      <x:color rgb="FF166534"/>
      <x:name val="Carlito"/>
    </x:font>
    <x:font>
      <x:b/>
      <x:sz val="24"/>
      <x:color rgb="FF1E40AF"/>
      <x:name val="Carlito"/>
    </x:font>
    <x:font>
      <x:b/>
      <x:sz val="24"/>
      <x:color rgb="FF92400E"/>
      <x:name val="Carlito"/>
    </x:font>
    <x:font>
      <x:b/>
      <x:sz val="12"/>
      <x:color rgb="FF1E3A8A"/>
      <x:name val="Carlito"/>
    </x:font>
    <x:font>
      <x:i/>
      <x:sz val="10"/>
      <x:color rgb="FF475569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E9EEF6"/>
      </x:patternFill>
    </x:fill>
    <x:fill>
      <x:patternFill patternType="solid">
        <x:fgColor rgb="FF3B82F6"/>
      </x:patternFill>
    </x:fill>
    <x:fill>
      <x:patternFill patternType="solid">
        <x:fgColor rgb="FFF8FAFC"/>
      </x:patternFill>
    </x:fill>
  </x:fills>
  <x:borders count="35">
    <x:border/>
    <x:border>
      <x:right style="thin">
        <x:color rgb="FFE2E8F0"/>
      </x:right>
      <x:bottom style="thin">
        <x:color rgb="FFDBEAFE"/>
      </x:bottom>
    </x:border>
    <x:border>
      <x:left style="thin">
        <x:color rgb="FFE2E8F0"/>
      </x:left>
      <x:right style="thin">
        <x:color rgb="FFE2E8F0"/>
      </x:right>
      <x:bottom style="thin">
        <x:color rgb="FFDBEAFE"/>
      </x:bottom>
    </x:border>
    <x:border>
      <x:left style="thin">
        <x:color rgb="FFE2E8F0"/>
      </x:left>
      <x:bottom style="thin">
        <x:color rgb="FFDBEAFE"/>
      </x:bottom>
    </x:border>
    <x:border>
      <x:right style="thin">
        <x:color rgb="FFE2E8F0"/>
      </x:right>
      <x:top style="thin">
        <x:color rgb="FFDBEAFE"/>
      </x:top>
      <x:bottom style="thin">
        <x:color rgb="FFDBEAFE"/>
      </x:bottom>
    </x:border>
    <x:border>
      <x:left style="thin">
        <x:color rgb="FFE2E8F0"/>
      </x:left>
      <x:right style="thin">
        <x:color rgb="FFE2E8F0"/>
      </x:right>
      <x:top style="thin">
        <x:color rgb="FFDBEAFE"/>
      </x:top>
      <x:bottom style="thin">
        <x:color rgb="FFDBEAFE"/>
      </x:bottom>
    </x:border>
    <x:border>
      <x:left style="thin">
        <x:color rgb="FFE2E8F0"/>
      </x:left>
      <x:top style="thin">
        <x:color rgb="FFDBEAFE"/>
      </x:top>
      <x:bottom style="thin">
        <x:color rgb="FFDBEAFE"/>
      </x:bottom>
    </x:border>
    <x:border>
      <x:right style="thin">
        <x:color rgb="FFE2E8F0"/>
      </x:right>
      <x:top style="thin">
        <x:color rgb="FFDBEAFE"/>
      </x:top>
      <x:bottom style="thin">
        <x:color rgb="FFBFDBFE"/>
      </x:bottom>
    </x:border>
    <x:border>
      <x:left style="thin">
        <x:color rgb="FFE2E8F0"/>
      </x:left>
      <x:right style="thin">
        <x:color rgb="FFE2E8F0"/>
      </x:right>
      <x:top style="thin">
        <x:color rgb="FFDBEAFE"/>
      </x:top>
      <x:bottom style="thin">
        <x:color rgb="FFBFDBFE"/>
      </x:bottom>
    </x:border>
    <x:border>
      <x:left style="thin">
        <x:color rgb="FFE2E8F0"/>
      </x:left>
      <x:top style="thin">
        <x:color rgb="FFDBEAFE"/>
      </x:top>
      <x:bottom style="thin">
        <x:color rgb="FFBFDBFE"/>
      </x:bottom>
    </x:border>
    <x:border>
      <x:left style="thin">
        <x:color rgb="FF86EFAC"/>
      </x:left>
      <x:top style="thin">
        <x:color rgb="FF86EFAC"/>
      </x:top>
    </x:border>
    <x:border>
      <x:right style="thin">
        <x:color rgb="FF86EFAC"/>
      </x:right>
      <x:top style="thin">
        <x:color rgb="FF86EFAC"/>
      </x:top>
    </x:border>
    <x:border>
      <x:left style="thin">
        <x:color rgb="FF86EFAC"/>
      </x:left>
    </x:border>
    <x:border>
      <x:right style="thin">
        <x:color rgb="FF86EFAC"/>
      </x:right>
    </x:border>
    <x:border>
      <x:left style="thin">
        <x:color rgb="FF86EFAC"/>
      </x:left>
      <x:bottom style="thin">
        <x:color rgb="FF86EFAC"/>
      </x:bottom>
    </x:border>
    <x:border>
      <x:right style="thin">
        <x:color rgb="FF86EFAC"/>
      </x:right>
      <x:bottom style="thin">
        <x:color rgb="FF86EFAC"/>
      </x:bottom>
    </x:border>
    <x:border>
      <x:left style="thin">
        <x:color rgb="FF93C5FD"/>
      </x:left>
      <x:top style="thin">
        <x:color rgb="FF93C5FD"/>
      </x:top>
    </x:border>
    <x:border>
      <x:right style="thin">
        <x:color rgb="FF93C5FD"/>
      </x:right>
      <x:top style="thin">
        <x:color rgb="FF93C5FD"/>
      </x:top>
    </x:border>
    <x:border>
      <x:left style="thin">
        <x:color rgb="FF93C5FD"/>
      </x:left>
    </x:border>
    <x:border>
      <x:right style="thin">
        <x:color rgb="FF93C5FD"/>
      </x:right>
    </x:border>
    <x:border>
      <x:left style="thin">
        <x:color rgb="FF93C5FD"/>
      </x:left>
      <x:bottom style="thin">
        <x:color rgb="FF93C5FD"/>
      </x:bottom>
    </x:border>
    <x:border>
      <x:right style="thin">
        <x:color rgb="FF93C5FD"/>
      </x:right>
      <x:bottom style="thin">
        <x:color rgb="FF93C5FD"/>
      </x:bottom>
    </x:border>
    <x:border>
      <x:left style="thin">
        <x:color rgb="FFFCD34D"/>
      </x:left>
      <x:top style="thin">
        <x:color rgb="FFFCD34D"/>
      </x:top>
    </x:border>
    <x:border>
      <x:right style="thin">
        <x:color rgb="FFFCD34D"/>
      </x:right>
      <x:top style="thin">
        <x:color rgb="FFFCD34D"/>
      </x:top>
    </x:border>
    <x:border>
      <x:left style="thin">
        <x:color rgb="FFFCD34D"/>
      </x:left>
    </x:border>
    <x:border>
      <x:right style="thin">
        <x:color rgb="FFFCD34D"/>
      </x:right>
    </x:border>
    <x:border>
      <x:left style="thin">
        <x:color rgb="FFFCD34D"/>
      </x:left>
      <x:bottom style="thin">
        <x:color rgb="FFFCD34D"/>
      </x:bottom>
    </x:border>
    <x:border>
      <x:right style="thin">
        <x:color rgb="FFFCD34D"/>
      </x:right>
      <x:bottom style="thin">
        <x:color rgb="FFFCD34D"/>
      </x:bottom>
    </x:border>
    <x:border>
      <x:left style="thin">
        <x:color rgb="FFDBEAFE"/>
      </x:left>
      <x:top style="thin">
        <x:color rgb="FFDBEAFE"/>
      </x:top>
    </x:border>
    <x:border>
      <x:top style="thin">
        <x:color rgb="FFDBEAFE"/>
      </x:top>
    </x:border>
    <x:border>
      <x:right style="thin">
        <x:color rgb="FFDBEAFE"/>
      </x:right>
      <x:top style="thin">
        <x:color rgb="FFDBEAFE"/>
      </x:top>
    </x:border>
    <x:border>
      <x:left style="thin">
        <x:color rgb="FFDBEAFE"/>
      </x:left>
      <x:bottom style="thin">
        <x:color rgb="FFDBEAFE"/>
      </x:bottom>
    </x:border>
    <x:border>
      <x:bottom style="thin">
        <x:color rgb="FFDBEAFE"/>
      </x:bottom>
    </x:border>
    <x:border>
      <x:right style="thin">
        <x:color rgb="FFDBEAFE"/>
      </x:right>
      <x:bottom style="thin">
        <x:color rgb="FFDBEAFE"/>
      </x:bottom>
    </x:border>
    <x:border>
      <x:top style="thin">
        <x:color rgb="FFDBEAFE"/>
      </x:top>
      <x:bottom style="thin">
        <x:color rgb="FFDBEAFE"/>
      </x:bottom>
    </x:border>
  </x:borders>
  <x:cellStyleXfs count="1">
    <x:xf numFmtId="0" fontId="0" fillId="0" borderId="0"/>
  </x:cellStyleXfs>
  <x:cellXfs count="1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0" borderId="8" xfId="0" applyNumberFormat="1" applyFont="1" applyFill="1" applyBorder="1" applyAlignment="1">
      <x:alignment vertical="center"/>
    </x:xf>
    <x:xf numFmtId="200" fontId="2" fillId="0" borderId="6" xfId="0" applyNumberFormat="1" applyFont="1" applyFill="1" applyBorder="1" applyAlignment="1">
      <x:alignment vertical="center"/>
    </x:xf>
    <x:xf numFmtId="200" fontId="2" fillId="0" borderId="9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horizontal="center" vertical="center"/>
    </x:xf>
    <x:xf numFmtId="0" fontId="2" fillId="0" borderId="7" xfId="0" applyNumberFormat="1" applyFont="1" applyFill="1" applyBorder="1" applyAlignment="1">
      <x:alignment horizontal="center" vertical="center"/>
    </x:xf>
    <x:xf numFmtId="0" fontId="2" fillId="0" borderId="5" xfId="0" applyNumberFormat="1" applyFont="1" applyFill="1" applyBorder="1" applyAlignment="1">
      <x:alignment horizontal="center" vertical="center"/>
    </x:xf>
    <x:xf numFmtId="200" fontId="2" fillId="0" borderId="5" xfId="0" applyNumberFormat="1" applyFont="1" applyFill="1" applyBorder="1" applyAlignment="1">
      <x:alignment horizontal="center" vertical="center"/>
    </x:xf>
    <x:xf numFmtId="0" fontId="2" fillId="0" borderId="8" xfId="0" applyNumberFormat="1" applyFont="1" applyFill="1" applyBorder="1" applyAlignment="1">
      <x:alignment horizontal="center" vertical="center"/>
    </x:xf>
    <x:xf numFmtId="200" fontId="2" fillId="0" borderId="8" xfId="0" applyNumberFormat="1" applyFont="1" applyFill="1" applyBorder="1" applyAlignment="1">
      <x:alignment horizontal="center" vertical="center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0" fontId="4" fillId="3" borderId="13" xfId="0" applyNumberFormat="1" applyFont="1" applyFill="1" applyBorder="1"/>
    <x:xf numFmtId="0" fontId="4" fillId="3" borderId="14" xfId="0" applyNumberFormat="1" applyFont="1" applyFill="1" applyBorder="1"/>
    <x:xf numFmtId="0" fontId="4" fillId="3" borderId="15" xfId="0" applyNumberFormat="1" applyFont="1" applyFill="1" applyBorder="1"/>
    <x:xf numFmtId="0" fontId="4" fillId="3" borderId="10" xfId="0" applyNumberFormat="1" applyFont="1" applyFill="1" applyBorder="1" applyAlignment="1">
      <x:alignment horizontal="center"/>
    </x:xf>
    <x:xf numFmtId="0" fontId="4" fillId="3" borderId="11" xfId="0" applyNumberFormat="1" applyFont="1" applyFill="1" applyBorder="1" applyAlignment="1">
      <x:alignment horizontal="center"/>
    </x:xf>
    <x:xf numFmtId="0" fontId="4" fillId="3" borderId="12" xfId="0" applyNumberFormat="1" applyFont="1" applyFill="1" applyBorder="1" applyAlignment="1">
      <x:alignment horizontal="center"/>
    </x:xf>
    <x:xf numFmtId="0" fontId="4" fillId="3" borderId="13" xfId="0" applyNumberFormat="1" applyFont="1" applyFill="1" applyBorder="1" applyAlignment="1">
      <x:alignment horizontal="center"/>
    </x:xf>
    <x:xf numFmtId="0" fontId="4" fillId="3" borderId="14" xfId="0" applyNumberFormat="1" applyFont="1" applyFill="1" applyBorder="1" applyAlignment="1">
      <x:alignment horizontal="center"/>
    </x:xf>
    <x:xf numFmtId="0" fontId="4" fillId="3" borderId="15" xfId="0" applyNumberFormat="1" applyFont="1" applyFill="1" applyBorder="1" applyAlignment="1">
      <x:alignment horizontal="center"/>
    </x:xf>
    <x:xf numFmtId="0" fontId="4" fillId="3" borderId="10" xfId="0" applyNumberFormat="1" applyFont="1" applyFill="1" applyBorder="1" applyAlignment="1">
      <x:alignment horizontal="center" vertical="center"/>
    </x:xf>
    <x:xf numFmtId="0" fontId="4" fillId="3" borderId="11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horizontal="center" vertical="center"/>
    </x:xf>
    <x:xf numFmtId="0" fontId="4" fillId="3" borderId="13" xfId="0" applyNumberFormat="1" applyFont="1" applyFill="1" applyBorder="1" applyAlignment="1">
      <x:alignment horizontal="center" vertical="center"/>
    </x:xf>
    <x:xf numFmtId="0" fontId="4" fillId="3" borderId="14" xfId="0" applyNumberFormat="1" applyFont="1" applyFill="1" applyBorder="1" applyAlignment="1">
      <x:alignment horizontal="center" vertical="center"/>
    </x:xf>
    <x:xf numFmtId="0" fontId="4" fillId="3" borderId="15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6" xfId="0" applyNumberFormat="1" applyFont="1" applyFill="1" applyBorder="1"/>
    <x:xf numFmtId="0" fontId="5" fillId="4" borderId="17" xfId="0" applyNumberFormat="1" applyFont="1" applyFill="1" applyBorder="1"/>
    <x:xf numFmtId="0" fontId="5" fillId="4" borderId="18" xfId="0" applyNumberFormat="1" applyFont="1" applyFill="1" applyBorder="1"/>
    <x:xf numFmtId="0" fontId="5" fillId="4" borderId="19" xfId="0" applyNumberFormat="1" applyFont="1" applyFill="1" applyBorder="1"/>
    <x:xf numFmtId="0" fontId="5" fillId="4" borderId="20" xfId="0" applyNumberFormat="1" applyFont="1" applyFill="1" applyBorder="1"/>
    <x:xf numFmtId="0" fontId="5" fillId="4" borderId="21" xfId="0" applyNumberFormat="1" applyFont="1" applyFill="1" applyBorder="1"/>
    <x:xf numFmtId="0" fontId="5" fillId="4" borderId="16" xfId="0" applyNumberFormat="1" applyFont="1" applyFill="1" applyBorder="1" applyAlignment="1">
      <x:alignment horizontal="center"/>
    </x:xf>
    <x:xf numFmtId="0" fontId="5" fillId="4" borderId="17" xfId="0" applyNumberFormat="1" applyFont="1" applyFill="1" applyBorder="1" applyAlignment="1">
      <x:alignment horizontal="center"/>
    </x:xf>
    <x:xf numFmtId="0" fontId="5" fillId="4" borderId="18" xfId="0" applyNumberFormat="1" applyFont="1" applyFill="1" applyBorder="1" applyAlignment="1">
      <x:alignment horizontal="center"/>
    </x:xf>
    <x:xf numFmtId="0" fontId="5" fillId="4" borderId="19" xfId="0" applyNumberFormat="1" applyFont="1" applyFill="1" applyBorder="1" applyAlignment="1">
      <x:alignment horizontal="center"/>
    </x:xf>
    <x:xf numFmtId="0" fontId="5" fillId="4" borderId="20" xfId="0" applyNumberFormat="1" applyFont="1" applyFill="1" applyBorder="1" applyAlignment="1">
      <x:alignment horizontal="center"/>
    </x:xf>
    <x:xf numFmtId="0" fontId="5" fillId="4" borderId="21" xfId="0" applyNumberFormat="1" applyFont="1" applyFill="1" applyBorder="1" applyAlignment="1">
      <x:alignment horizontal="center"/>
    </x:xf>
    <x:xf numFmtId="0" fontId="5" fillId="4" borderId="16" xfId="0" applyNumberFormat="1" applyFont="1" applyFill="1" applyBorder="1" applyAlignment="1">
      <x:alignment horizontal="center" vertical="center"/>
    </x:xf>
    <x:xf numFmtId="0" fontId="5" fillId="4" borderId="17" xfId="0" applyNumberFormat="1" applyFont="1" applyFill="1" applyBorder="1" applyAlignment="1">
      <x:alignment horizontal="center" vertical="center"/>
    </x:xf>
    <x:xf numFmtId="0" fontId="5" fillId="4" borderId="18" xfId="0" applyNumberFormat="1" applyFont="1" applyFill="1" applyBorder="1" applyAlignment="1">
      <x:alignment horizontal="center" vertical="center"/>
    </x:xf>
    <x:xf numFmtId="0" fontId="5" fillId="4" borderId="19" xfId="0" applyNumberFormat="1" applyFont="1" applyFill="1" applyBorder="1" applyAlignment="1">
      <x:alignment horizontal="center" vertical="center"/>
    </x:xf>
    <x:xf numFmtId="0" fontId="5" fillId="4" borderId="20" xfId="0" applyNumberFormat="1" applyFont="1" applyFill="1" applyBorder="1" applyAlignment="1">
      <x:alignment horizontal="center" vertical="center"/>
    </x:xf>
    <x:xf numFmtId="0" fontId="5" fillId="4" borderId="2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22" xfId="0" applyNumberFormat="1" applyFont="1" applyFill="1" applyBorder="1"/>
    <x:xf numFmtId="0" fontId="6" fillId="5" borderId="23" xfId="0" applyNumberFormat="1" applyFont="1" applyFill="1" applyBorder="1"/>
    <x:xf numFmtId="0" fontId="6" fillId="5" borderId="24" xfId="0" applyNumberFormat="1" applyFont="1" applyFill="1" applyBorder="1"/>
    <x:xf numFmtId="0" fontId="6" fillId="5" borderId="25" xfId="0" applyNumberFormat="1" applyFont="1" applyFill="1" applyBorder="1"/>
    <x:xf numFmtId="0" fontId="6" fillId="5" borderId="26" xfId="0" applyNumberFormat="1" applyFont="1" applyFill="1" applyBorder="1"/>
    <x:xf numFmtId="0" fontId="6" fillId="5" borderId="27" xfId="0" applyNumberFormat="1" applyFont="1" applyFill="1" applyBorder="1"/>
    <x:xf numFmtId="0" fontId="6" fillId="5" borderId="22" xfId="0" applyNumberFormat="1" applyFont="1" applyFill="1" applyBorder="1" applyAlignment="1">
      <x:alignment horizontal="center"/>
    </x:xf>
    <x:xf numFmtId="0" fontId="6" fillId="5" borderId="23" xfId="0" applyNumberFormat="1" applyFont="1" applyFill="1" applyBorder="1" applyAlignment="1">
      <x:alignment horizontal="center"/>
    </x:xf>
    <x:xf numFmtId="0" fontId="6" fillId="5" borderId="24" xfId="0" applyNumberFormat="1" applyFont="1" applyFill="1" applyBorder="1" applyAlignment="1">
      <x:alignment horizontal="center"/>
    </x:xf>
    <x:xf numFmtId="0" fontId="6" fillId="5" borderId="25" xfId="0" applyNumberFormat="1" applyFont="1" applyFill="1" applyBorder="1" applyAlignment="1">
      <x:alignment horizontal="center"/>
    </x:xf>
    <x:xf numFmtId="0" fontId="6" fillId="5" borderId="26" xfId="0" applyNumberFormat="1" applyFont="1" applyFill="1" applyBorder="1" applyAlignment="1">
      <x:alignment horizontal="center"/>
    </x:xf>
    <x:xf numFmtId="0" fontId="6" fillId="5" borderId="27" xfId="0" applyNumberFormat="1" applyFont="1" applyFill="1" applyBorder="1" applyAlignment="1">
      <x:alignment horizontal="center"/>
    </x:xf>
    <x:xf numFmtId="0" fontId="6" fillId="5" borderId="22" xfId="0" applyNumberFormat="1" applyFont="1" applyFill="1" applyBorder="1" applyAlignment="1">
      <x:alignment horizontal="center" vertical="center"/>
    </x:xf>
    <x:xf numFmtId="0" fontId="6" fillId="5" borderId="23" xfId="0" applyNumberFormat="1" applyFont="1" applyFill="1" applyBorder="1" applyAlignment="1">
      <x:alignment horizontal="center" vertical="center"/>
    </x:xf>
    <x:xf numFmtId="0" fontId="6" fillId="5" borderId="24" xfId="0" applyNumberFormat="1" applyFont="1" applyFill="1" applyBorder="1" applyAlignment="1">
      <x:alignment horizontal="center" vertical="center"/>
    </x:xf>
    <x:xf numFmtId="0" fontId="6" fillId="5" borderId="25" xfId="0" applyNumberFormat="1" applyFont="1" applyFill="1" applyBorder="1" applyAlignment="1">
      <x:alignment horizontal="center" vertical="center"/>
    </x:xf>
    <x:xf numFmtId="0" fontId="6" fillId="5" borderId="26" xfId="0" applyNumberFormat="1" applyFont="1" applyFill="1" applyBorder="1" applyAlignment="1">
      <x:alignment horizontal="center" vertical="center"/>
    </x:xf>
    <x:xf numFmtId="0" fontId="6" fillId="5" borderId="27" xfId="0" applyNumberFormat="1" applyFont="1" applyFill="1" applyBorder="1" applyAlignment="1">
      <x:alignment horizontal="center" vertical="center"/>
    </x:xf>
    <x:xf numFmtId="0" fontId="7" fillId="3" borderId="12" xfId="0" applyNumberFormat="1" applyFont="1" applyFill="1" applyBorder="1" applyAlignment="1">
      <x:alignment horizontal="center" vertical="center"/>
    </x:xf>
    <x:xf numFmtId="0" fontId="7" fillId="3" borderId="13" xfId="0" applyNumberFormat="1" applyFont="1" applyFill="1" applyBorder="1" applyAlignment="1">
      <x:alignment horizontal="center" vertical="center"/>
    </x:xf>
    <x:xf numFmtId="0" fontId="8" fillId="4" borderId="18" xfId="0" applyNumberFormat="1" applyFont="1" applyFill="1" applyBorder="1" applyAlignment="1">
      <x:alignment horizontal="center" vertical="center"/>
    </x:xf>
    <x:xf numFmtId="0" fontId="8" fillId="4" borderId="19" xfId="0" applyNumberFormat="1" applyFont="1" applyFill="1" applyBorder="1" applyAlignment="1">
      <x:alignment horizontal="center" vertical="center"/>
    </x:xf>
    <x:xf numFmtId="0" fontId="9" fillId="5" borderId="24" xfId="0" applyNumberFormat="1" applyFont="1" applyFill="1" applyBorder="1" applyAlignment="1">
      <x:alignment horizontal="center" vertical="center"/>
    </x:xf>
    <x:xf numFmtId="0" fontId="9" fillId="5" borderId="25" xfId="0" applyNumberFormat="1" applyFont="1" applyFill="1" applyBorder="1" applyAlignment="1">
      <x:alignment horizontal="center" vertical="center"/>
    </x:xf>
    <x:xf numFmtId="0" fontId="7" fillId="3" borderId="14" xfId="0" applyNumberFormat="1" applyFont="1" applyFill="1" applyBorder="1" applyAlignment="1">
      <x:alignment horizontal="center" vertical="center"/>
    </x:xf>
    <x:xf numFmtId="0" fontId="7" fillId="3" borderId="15" xfId="0" applyNumberFormat="1" applyFont="1" applyFill="1" applyBorder="1" applyAlignment="1">
      <x:alignment horizontal="center" vertical="center"/>
    </x:xf>
    <x:xf numFmtId="0" fontId="8" fillId="4" borderId="20" xfId="0" applyNumberFormat="1" applyFont="1" applyFill="1" applyBorder="1" applyAlignment="1">
      <x:alignment horizontal="center" vertical="center"/>
    </x:xf>
    <x:xf numFmtId="0" fontId="8" fillId="4" borderId="21" xfId="0" applyNumberFormat="1" applyFont="1" applyFill="1" applyBorder="1" applyAlignment="1">
      <x:alignment horizontal="center" vertical="center"/>
    </x:xf>
    <x:xf numFmtId="0" fontId="9" fillId="5" borderId="26" xfId="0" applyNumberFormat="1" applyFont="1" applyFill="1" applyBorder="1" applyAlignment="1">
      <x:alignment horizontal="center" vertical="center"/>
    </x:xf>
    <x:xf numFmtId="0" fontId="9" fillId="5" borderId="27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1" fillId="7" borderId="1" xfId="0" applyNumberFormat="1" applyFont="1" applyFill="1" applyBorder="1" applyAlignment="1">
      <x:alignment horizontal="center"/>
    </x:xf>
    <x:xf numFmtId="0" fontId="1" fillId="7" borderId="2" xfId="0" applyNumberFormat="1" applyFont="1" applyFill="1" applyBorder="1" applyAlignment="1">
      <x:alignment horizontal="center"/>
    </x:xf>
    <x:xf numFmtId="0" fontId="1" fillId="7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 applyAlignment="1">
      <x:alignment horizontal="center"/>
    </x:xf>
    <x:xf numFmtId="200" fontId="0" fillId="0" borderId="5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20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28" xfId="0" applyNumberFormat="1" applyFont="1" applyFill="1" applyBorder="1"/>
    <x:xf numFmtId="0" fontId="11" fillId="8" borderId="29" xfId="0" applyNumberFormat="1" applyFont="1" applyFill="1" applyBorder="1"/>
    <x:xf numFmtId="0" fontId="11" fillId="8" borderId="30" xfId="0" applyNumberFormat="1" applyFont="1" applyFill="1" applyBorder="1"/>
    <x:xf numFmtId="0" fontId="11" fillId="8" borderId="31" xfId="0" applyNumberFormat="1" applyFont="1" applyFill="1" applyBorder="1"/>
    <x:xf numFmtId="0" fontId="11" fillId="8" borderId="32" xfId="0" applyNumberFormat="1" applyFont="1" applyFill="1" applyBorder="1"/>
    <x:xf numFmtId="0" fontId="11" fillId="8" borderId="33" xfId="0" applyNumberFormat="1" applyFont="1" applyFill="1" applyBorder="1"/>
    <x:xf numFmtId="0" fontId="11" fillId="8" borderId="28" xfId="0" applyNumberFormat="1" applyFont="1" applyFill="1" applyBorder="1" applyAlignment="1">
      <x:alignment wrapText="1"/>
    </x:xf>
    <x:xf numFmtId="0" fontId="11" fillId="8" borderId="29" xfId="0" applyNumberFormat="1" applyFont="1" applyFill="1" applyBorder="1" applyAlignment="1">
      <x:alignment wrapText="1"/>
    </x:xf>
    <x:xf numFmtId="0" fontId="11" fillId="8" borderId="30" xfId="0" applyNumberFormat="1" applyFont="1" applyFill="1" applyBorder="1" applyAlignment="1">
      <x:alignment wrapText="1"/>
    </x:xf>
    <x:xf numFmtId="0" fontId="11" fillId="8" borderId="31" xfId="0" applyNumberFormat="1" applyFont="1" applyFill="1" applyBorder="1" applyAlignment="1">
      <x:alignment wrapText="1"/>
    </x:xf>
    <x:xf numFmtId="0" fontId="11" fillId="8" borderId="32" xfId="0" applyNumberFormat="1" applyFont="1" applyFill="1" applyBorder="1" applyAlignment="1">
      <x:alignment wrapText="1"/>
    </x:xf>
    <x:xf numFmtId="0" fontId="11" fillId="8" borderId="33" xfId="0" applyNumberFormat="1" applyFont="1" applyFill="1" applyBorder="1" applyAlignment="1">
      <x:alignment wrapText="1"/>
    </x:xf>
    <x:xf numFmtId="0" fontId="11" fillId="8" borderId="28" xfId="0" applyNumberFormat="1" applyFont="1" applyFill="1" applyBorder="1" applyAlignment="1">
      <x:alignment vertical="center" wrapText="1"/>
    </x:xf>
    <x:xf numFmtId="0" fontId="11" fillId="8" borderId="29" xfId="0" applyNumberFormat="1" applyFont="1" applyFill="1" applyBorder="1" applyAlignment="1">
      <x:alignment vertical="center" wrapText="1"/>
    </x:xf>
    <x:xf numFmtId="0" fontId="11" fillId="8" borderId="30" xfId="0" applyNumberFormat="1" applyFont="1" applyFill="1" applyBorder="1" applyAlignment="1">
      <x:alignment vertical="center" wrapText="1"/>
    </x:xf>
    <x:xf numFmtId="0" fontId="11" fillId="8" borderId="31" xfId="0" applyNumberFormat="1" applyFont="1" applyFill="1" applyBorder="1" applyAlignment="1">
      <x:alignment vertical="center" wrapText="1"/>
    </x:xf>
    <x:xf numFmtId="0" fontId="11" fillId="8" borderId="32" xfId="0" applyNumberFormat="1" applyFont="1" applyFill="1" applyBorder="1" applyAlignment="1">
      <x:alignment vertical="center" wrapText="1"/>
    </x:xf>
    <x:xf numFmtId="0" fontId="11" fillId="8" borderId="33" xfId="0" applyNumberFormat="1" applyFont="1" applyFill="1" applyBorder="1" applyAlignment="1">
      <x:alignment vertical="center" wrapText="1"/>
    </x:xf>
    <x:xf numFmtId="0" fontId="1" fillId="2" borderId="32" xfId="0" applyNumberFormat="1" applyFont="1" applyFill="1" applyBorder="1"/>
    <x:xf numFmtId="0" fontId="0" fillId="0" borderId="34" xfId="0" applyNumberFormat="1" applyFont="1" applyFill="1" applyBorder="1"/>
    <x:xf numFmtId="0" fontId="0" fillId="0" borderId="29" xfId="0" applyNumberFormat="1" applyFont="1" applyFill="1" applyBorder="1"/>
  </x:cellXfs>
  <x:cellStyles count="1">
    <x:cellStyle name="Normal" xfId="0"/>
  </x:cellStyles>
  <x:dxfs count="3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f99b8cc4af4397" /><Relationship Type="http://schemas.openxmlformats.org/officeDocument/2006/relationships/theme" Target="/xl/theme/theme1.xml" Id="R1284266c4ac5429e" /><Relationship Type="http://schemas.openxmlformats.org/officeDocument/2006/relationships/sharedStrings" Target="/xl/sharedStrings.xml" Id="Rbb698217277546b8" /><Relationship Type="http://schemas.openxmlformats.org/officeDocument/2006/relationships/worksheet" Target="/xl/worksheets/sheet1.xml" Id="R204c9f4dba3a43e3" /><Relationship Type="http://schemas.openxmlformats.org/officeDocument/2006/relationships/worksheet" Target="/xl/worksheets/sheet2.xml" Id="Rcf2df7da2e5b44fc" /><Relationship Type="http://schemas.openxmlformats.org/officeDocument/2006/relationships/worksheet" Target="/xl/worksheets/sheet3.xml" Id="Re194419317194614" /></Relationships>
</file>

<file path=xl/tables/table1.xml><?xml version="1.0" encoding="utf-8"?>
<x:table xmlns:x="http://schemas.openxmlformats.org/spreadsheetml/2006/main" id="1" name="PublicationsTable" displayName="PublicationsTable" ref="A1:M9" headerRowCount="1" totalsRowCount="0" totalsRowShown="0">
  <x:autoFilter ref="A1:M9"/>
  <x:tableColumns count="13">
    <x:tableColumn id="1" name="Publication Year"/>
    <x:tableColumn id="2" name="Venue"/>
    <x:tableColumn id="3" name="Type"/>
    <x:tableColumn id="4" name="Deadline"/>
    <x:tableColumn id="5" name="Paper Title"/>
    <x:tableColumn id="6" name="Status"/>
    <x:tableColumn id="7" name="Target Month"/>
    <x:tableColumn id="8" name="Priority"/>
    <x:tableColumn id="9" name="Owner"/>
    <x:tableColumn id="10" name="Next Step"/>
    <x:tableColumn id="11" name="Paper URL"/>
    <x:tableColumn id="12" name="Notes"/>
    <x:tableColumn id="13" name="Last Updat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812f1b4b5e41e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5" hidden="0" customWidth="1"/>
    <x:col min="5" max="5" width="20" hidden="0" customWidth="1"/>
    <x:col min="6" max="6" width="14" hidden="0" customWidth="1"/>
    <x:col min="7" max="7" width="14" hidden="0" customWidth="1"/>
    <x:col min="8" max="8" width="12" hidden="0" customWidth="1"/>
    <x:col min="9" max="9" width="16" hidden="0" customWidth="1"/>
    <x:col min="10" max="10" width="24" hidden="0" customWidth="1"/>
    <x:col min="11" max="11" width="24" hidden="0" customWidth="1"/>
    <x:col min="12" max="12" width="42" hidden="0" customWidth="1"/>
    <x:col min="13" max="13" width="16" hidden="0" customWidth="1"/>
  </x:cols>
  <x:sheetData>
    <x:row r="1" ht="34" customHeight="1">
      <x:c r="A1" s="7" t="str">
        <x:v>Publication Year</x:v>
      </x:c>
      <x:c r="B1" s="8" t="str">
        <x:v>Venue</x:v>
      </x:c>
      <x:c r="C1" s="8" t="str">
        <x:v>Type</x:v>
      </x:c>
      <x:c r="D1" s="8" t="str">
        <x:v>Deadline</x:v>
      </x:c>
      <x:c r="E1" s="8" t="str">
        <x:v>Paper Title</x:v>
      </x:c>
      <x:c r="F1" s="8" t="str">
        <x:v>Status</x:v>
      </x:c>
      <x:c r="G1" s="8" t="str">
        <x:v>Target Month</x:v>
      </x:c>
      <x:c r="H1" s="8" t="str">
        <x:v>Priority</x:v>
      </x:c>
      <x:c r="I1" s="8" t="str">
        <x:v>Owner</x:v>
      </x:c>
      <x:c r="J1" s="8" t="str">
        <x:v>Next Step</x:v>
      </x:c>
      <x:c r="K1" s="8" t="str">
        <x:v>Paper URL</x:v>
      </x:c>
      <x:c r="L1" s="8" t="str">
        <x:v>Notes</x:v>
      </x:c>
      <x:c r="M1" s="9" t="str">
        <x:v>Last Updated</x:v>
      </x:c>
    </x:row>
    <x:row r="2" ht="34" customHeight="1">
      <x:c r="A2" s="20" t="n">
        <x:v>2026</x:v>
      </x:c>
      <x:c r="B2" s="22" t="str">
        <x:v>AAAI WS</x:v>
      </x:c>
      <x:c r="C2" s="22" t="str">
        <x:v>Workshop</x:v>
      </x:c>
      <x:c r="D2" s="23" t="n">
        <x:v>45952</x:v>
      </x:c>
      <x:c r="E2" s="11" t="str">
        <x:v>DiGAN</x:v>
      </x:c>
      <x:c r="F2" s="22" t="str">
        <x:v>Accepted</x:v>
      </x:c>
      <x:c r="G2" s="22" t="str"/>
      <x:c r="H2" s="22" t="str">
        <x:v>Archive</x:v>
      </x:c>
      <x:c r="I2" s="11" t="str"/>
      <x:c r="J2" s="11" t="str">
        <x:v>Archive final assets</x:v>
      </x:c>
      <x:c r="K2" s="11" t="str"/>
      <x:c r="L2" s="26" t="str">
        <x:v>Deadline year inferred from the 2026 publication cycle.</x:v>
      </x:c>
      <x:c r="M2" s="18" t="n">
        <x:v>46292</x:v>
      </x:c>
    </x:row>
    <x:row r="3" ht="34" customHeight="1">
      <x:c r="A3" s="20" t="n">
        <x:v>2026</x:v>
      </x:c>
      <x:c r="B3" s="22" t="str">
        <x:v>Nature</x:v>
      </x:c>
      <x:c r="C3" s="22" t="str">
        <x:v>Journal</x:v>
      </x:c>
      <x:c r="D3" s="23" t="n">
        <x:v>45930</x:v>
      </x:c>
      <x:c r="E3" s="11" t="str">
        <x:v>MARVIN</x:v>
      </x:c>
      <x:c r="F3" s="22" t="str">
        <x:v>Accepted</x:v>
      </x:c>
      <x:c r="G3" s="22" t="str"/>
      <x:c r="H3" s="22" t="str">
        <x:v>Archive</x:v>
      </x:c>
      <x:c r="I3" s="11" t="str"/>
      <x:c r="J3" s="11" t="str">
        <x:v>Archive final assets</x:v>
      </x:c>
      <x:c r="K3" s="11" t="str"/>
      <x:c r="L3" s="26" t="str">
        <x:v>Deadline year inferred from the 2026 publication cycle.</x:v>
      </x:c>
      <x:c r="M3" s="18" t="n">
        <x:v>46292</x:v>
      </x:c>
    </x:row>
    <x:row r="4" ht="34" customHeight="1">
      <x:c r="A4" s="20" t="n">
        <x:v>2026</x:v>
      </x:c>
      <x:c r="B4" s="22" t="str">
        <x:v>ICML</x:v>
      </x:c>
      <x:c r="C4" s="22" t="str">
        <x:v>Conference</x:v>
      </x:c>
      <x:c r="D4" s="23" t="n">
        <x:v>45783</x:v>
      </x:c>
      <x:c r="E4" s="11" t="str">
        <x:v>STT-LLM</x:v>
      </x:c>
      <x:c r="F4" s="22" t="str">
        <x:v>Accepted</x:v>
      </x:c>
      <x:c r="G4" s="22" t="str"/>
      <x:c r="H4" s="22" t="str">
        <x:v>Archive</x:v>
      </x:c>
      <x:c r="I4" s="11" t="str"/>
      <x:c r="J4" s="11" t="str">
        <x:v>Archive final assets</x:v>
      </x:c>
      <x:c r="K4" s="11" t="str"/>
      <x:c r="L4" s="26" t="str">
        <x:v>Deadline year inferred from the 2026 publication cycle.</x:v>
      </x:c>
      <x:c r="M4" s="18" t="n">
        <x:v>46292</x:v>
      </x:c>
    </x:row>
    <x:row r="5" ht="34" customHeight="1">
      <x:c r="A5" s="20" t="n">
        <x:v>2027</x:v>
      </x:c>
      <x:c r="B5" s="22" t="str">
        <x:v>ICLR</x:v>
      </x:c>
      <x:c r="C5" s="22" t="str">
        <x:v>Conference</x:v>
      </x:c>
      <x:c r="D5" s="23" t="n">
        <x:v>46290</x:v>
      </x:c>
      <x:c r="E5" s="11" t="str">
        <x:v>LongMOE</x:v>
      </x:c>
      <x:c r="F5" s="22" t="str">
        <x:v>Submitted</x:v>
      </x:c>
      <x:c r="G5" s="22" t="str"/>
      <x:c r="H5" s="22" t="str">
        <x:v>High</x:v>
      </x:c>
      <x:c r="I5" s="11" t="str"/>
      <x:c r="J5" s="11" t="str">
        <x:v>Track review cycle</x:v>
      </x:c>
      <x:c r="K5" s="11" t="str"/>
      <x:c r="L5" s="26" t="str">
        <x:v>Submitted for the 2027 cycle.</x:v>
      </x:c>
      <x:c r="M5" s="18" t="n">
        <x:v>46292</x:v>
      </x:c>
    </x:row>
    <x:row r="6" ht="34" customHeight="1">
      <x:c r="A6" s="20" t="n">
        <x:v>2027</x:v>
      </x:c>
      <x:c r="B6" s="22" t="str">
        <x:v>ICLR</x:v>
      </x:c>
      <x:c r="C6" s="22" t="str">
        <x:v>Conference</x:v>
      </x:c>
      <x:c r="D6" s="23" t="n">
        <x:v>46290</x:v>
      </x:c>
      <x:c r="E6" s="11" t="str">
        <x:v>CAMOS</x:v>
      </x:c>
      <x:c r="F6" s="22" t="str">
        <x:v>Submitted</x:v>
      </x:c>
      <x:c r="G6" s="22" t="str"/>
      <x:c r="H6" s="22" t="str">
        <x:v>High</x:v>
      </x:c>
      <x:c r="I6" s="11" t="str"/>
      <x:c r="J6" s="11" t="str">
        <x:v>Track review cycle</x:v>
      </x:c>
      <x:c r="K6" s="11" t="str"/>
      <x:c r="L6" s="26" t="str">
        <x:v>Submitted for the 2027 cycle.</x:v>
      </x:c>
      <x:c r="M6" s="18" t="n">
        <x:v>46292</x:v>
      </x:c>
    </x:row>
    <x:row r="7" ht="34" customHeight="1">
      <x:c r="A7" s="20" t="n">
        <x:v>2027</x:v>
      </x:c>
      <x:c r="B7" s="22" t="str">
        <x:v>CVPR</x:v>
      </x:c>
      <x:c r="C7" s="22" t="str">
        <x:v>Conference</x:v>
      </x:c>
      <x:c r="D7" s="23" t="n">
        <x:v>46339</x:v>
      </x:c>
      <x:c r="E7" s="11" t="str">
        <x:v>Segmentation</x:v>
      </x:c>
      <x:c r="F7" s="22" t="str">
        <x:v>Planned</x:v>
      </x:c>
      <x:c r="G7" s="22" t="str">
        <x:v>Oct</x:v>
      </x:c>
      <x:c r="H7" s="22" t="str">
        <x:v>High</x:v>
      </x:c>
      <x:c r="I7" s="11" t="str"/>
      <x:c r="J7" s="11" t="str">
        <x:v>Draft and internal review</x:v>
      </x:c>
      <x:c r="K7" s="11" t="str"/>
      <x:c r="L7" s="26" t="str">
        <x:v>Target month was provided as status; normalized to Planned + Oct.</x:v>
      </x:c>
      <x:c r="M7" s="18" t="n">
        <x:v>46292</x:v>
      </x:c>
    </x:row>
    <x:row r="8" ht="34" customHeight="1">
      <x:c r="A8" s="20" t="n">
        <x:v>2027</x:v>
      </x:c>
      <x:c r="B8" s="22" t="str">
        <x:v>Nature</x:v>
      </x:c>
      <x:c r="C8" s="22" t="str">
        <x:v>Journal</x:v>
      </x:c>
      <x:c r="D8" s="23" t="n">
        <x:v>46376</x:v>
      </x:c>
      <x:c r="E8" s="11" t="str">
        <x:v>INCLAIR</x:v>
      </x:c>
      <x:c r="F8" s="22" t="str">
        <x:v>Planned</x:v>
      </x:c>
      <x:c r="G8" s="22" t="str">
        <x:v>Nov</x:v>
      </x:c>
      <x:c r="H8" s="22" t="str">
        <x:v>High</x:v>
      </x:c>
      <x:c r="I8" s="11" t="str"/>
      <x:c r="J8" s="11" t="str">
        <x:v>Draft and internal review</x:v>
      </x:c>
      <x:c r="K8" s="11" t="str"/>
      <x:c r="L8" s="26" t="str">
        <x:v>Target month was provided as status; normalized to Planned + Nov.</x:v>
      </x:c>
      <x:c r="M8" s="18" t="n">
        <x:v>46292</x:v>
      </x:c>
    </x:row>
    <x:row r="9" ht="34" customHeight="1">
      <x:c r="A9" s="21" t="n">
        <x:v>2027</x:v>
      </x:c>
      <x:c r="B9" s="24" t="str">
        <x:v>ACL</x:v>
      </x:c>
      <x:c r="C9" s="24" t="str">
        <x:v>Conference</x:v>
      </x:c>
      <x:c r="D9" s="25" t="n">
        <x:v>46415</x:v>
      </x:c>
      <x:c r="E9" s="14" t="str">
        <x:v>MedLLM</x:v>
      </x:c>
      <x:c r="F9" s="24" t="str">
        <x:v>Planned</x:v>
      </x:c>
      <x:c r="G9" s="24" t="str">
        <x:v>Dec</x:v>
      </x:c>
      <x:c r="H9" s="24" t="str">
        <x:v>Medium</x:v>
      </x:c>
      <x:c r="I9" s="14" t="str"/>
      <x:c r="J9" s="14" t="str">
        <x:v>Draft and internal review</x:v>
      </x:c>
      <x:c r="K9" s="14" t="str"/>
      <x:c r="L9" s="27" t="str">
        <x:v>Target month was provided as status; normalized to Planned + Dec.</x:v>
      </x:c>
      <x:c r="M9" s="19" t="n">
        <x:v>46292</x:v>
      </x:c>
    </x:row>
  </x:sheetData>
  <x:conditionalFormatting sqref="F2:F200">
    <x:cfRule type="containsText" dxfId="0" priority="1" operator="containsText" text="Accepted"/>
    <x:cfRule type="containsText" dxfId="1" priority="2" operator="containsText" text="Submitted"/>
    <x:cfRule type="containsText" dxfId="2" priority="3" operator="containsText" text="Planned"/>
  </x:conditionalFormatting>
  <x:dataValidations count="3">
    <x:dataValidation type="list" sqref="F2:F200">
      <x:formula1>"Accepted,Submitted,In Review,Revision,Planned,On Hold,Withdrawn,Rejected"</x:formula1>
    </x:dataValidation>
    <x:dataValidation type="list" sqref="H2:H200">
      <x:formula1>"High,Medium,Low,Archive"</x:formula1>
    </x:dataValidation>
    <x:dataValidation type="list" sqref="C2:C200">
      <x:formula1>"Conference,Workshop,Journal"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812f1b4b5e41e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3" hidden="0" customWidth="1"/>
    <x:col min="5" max="5" width="18" hidden="0" customWidth="1"/>
    <x:col min="6" max="6" width="18" hidden="0" customWidth="1"/>
  </x:cols>
  <x:sheetData>
    <x:row r="1" ht="31" customHeight="1">
      <x:c r="A1" s="30" t="str">
        <x:v>PUBLICATION PIPELINE</x:v>
      </x:c>
      <x:c r="B1" s="30"/>
      <x:c r="C1" s="30"/>
      <x:c r="D1" s="30"/>
      <x:c r="E1" s="30"/>
      <x:c r="F1" s="30"/>
    </x:row>
    <x:row r="2" ht="31" customHeight="1">
      <x:c r="A2" s="30"/>
      <x:c r="B2" s="30"/>
      <x:c r="C2" s="30"/>
      <x:c r="D2" s="30"/>
      <x:c r="E2" s="30"/>
      <x:c r="F2" s="30"/>
    </x:row>
    <x:row r="4">
      <x:c r="A4" s="45" t="str">
        <x:v>ACCEPTED</x:v>
      </x:c>
      <x:c r="B4" s="46"/>
      <x:c r="C4" s="65" t="str">
        <x:v>SUBMITTED</x:v>
      </x:c>
      <x:c r="D4" s="66"/>
      <x:c r="E4" s="85" t="str">
        <x:v>PLANNED</x:v>
      </x:c>
      <x:c r="F4" s="86"/>
    </x:row>
    <x:row r="5">
      <x:c r="A5" s="91" t="n">
        <x:f>COUNTIF('Publications'!$F$2:$F$101,"Accepted")</x:f>
        <x:v>3</x:v>
      </x:c>
      <x:c r="B5" s="92"/>
      <x:c r="C5" s="93" t="n">
        <x:f>COUNTIF('Publications'!$F$2:$F$101,"Submitted")</x:f>
        <x:v>2</x:v>
      </x:c>
      <x:c r="D5" s="94"/>
      <x:c r="E5" s="95" t="n">
        <x:f>COUNTIF('Publications'!$F$2:$F$101,"Planned")</x:f>
        <x:v>3</x:v>
      </x:c>
      <x:c r="F5" s="96"/>
    </x:row>
    <x:row r="6">
      <x:c r="A6" s="97"/>
      <x:c r="B6" s="98"/>
      <x:c r="C6" s="99"/>
      <x:c r="D6" s="100"/>
      <x:c r="E6" s="101"/>
      <x:c r="F6" s="102"/>
    </x:row>
    <x:row r="8">
      <x:c r="A8" s="104" t="str">
        <x:v>UPCOMING WORK</x:v>
      </x:c>
      <x:c r="B8" s="104"/>
      <x:c r="C8" s="104"/>
      <x:c r="D8" s="104"/>
      <x:c r="E8" s="104"/>
      <x:c r="F8" s="104"/>
    </x:row>
    <x:row r="9">
      <x:c r="A9" s="109" t="str">
        <x:v>Year</x:v>
      </x:c>
      <x:c r="B9" s="110" t="str">
        <x:v>Venue</x:v>
      </x:c>
      <x:c r="C9" s="110" t="str">
        <x:v>Deadline</x:v>
      </x:c>
      <x:c r="D9" s="110" t="str">
        <x:v>Paper</x:v>
      </x:c>
      <x:c r="E9" s="110" t="str">
        <x:v>Status</x:v>
      </x:c>
      <x:c r="F9" s="111" t="str">
        <x:v>Target</x:v>
      </x:c>
    </x:row>
    <x:row r="10" ht="26" customHeight="1">
      <x:c r="A10" s="120" t="n">
        <x:f>'Publications'!A5</x:f>
        <x:v>2027</x:v>
      </x:c>
      <x:c r="B10" s="121" t="str">
        <x:f>'Publications'!B5</x:f>
        <x:v>ICLR</x:v>
      </x:c>
      <x:c r="C10" s="122" t="n">
        <x:f>'Publications'!D5</x:f>
        <x:v>46290</x:v>
      </x:c>
      <x:c r="D10" s="121" t="str">
        <x:f>'Publications'!E5</x:f>
        <x:v>LongMOE</x:v>
      </x:c>
      <x:c r="E10" s="121" t="str">
        <x:f>'Publications'!F5</x:f>
        <x:v>Submitted</x:v>
      </x:c>
      <x:c r="F10" s="123" t="str">
        <x:f>'Publications'!G5</x:f>
      </x:c>
    </x:row>
    <x:row r="11" ht="26" customHeight="1">
      <x:c r="A11" s="120" t="n">
        <x:f>'Publications'!A6</x:f>
        <x:v>2027</x:v>
      </x:c>
      <x:c r="B11" s="121" t="str">
        <x:f>'Publications'!B6</x:f>
        <x:v>ICLR</x:v>
      </x:c>
      <x:c r="C11" s="122" t="n">
        <x:f>'Publications'!D6</x:f>
        <x:v>46290</x:v>
      </x:c>
      <x:c r="D11" s="121" t="str">
        <x:f>'Publications'!E6</x:f>
        <x:v>CAMOS</x:v>
      </x:c>
      <x:c r="E11" s="121" t="str">
        <x:f>'Publications'!F6</x:f>
        <x:v>Submitted</x:v>
      </x:c>
      <x:c r="F11" s="123" t="str">
        <x:f>'Publications'!G6</x:f>
      </x:c>
    </x:row>
    <x:row r="12" ht="26" customHeight="1">
      <x:c r="A12" s="120" t="n">
        <x:f>'Publications'!A7</x:f>
        <x:v>2027</x:v>
      </x:c>
      <x:c r="B12" s="121" t="str">
        <x:f>'Publications'!B7</x:f>
        <x:v>CVPR</x:v>
      </x:c>
      <x:c r="C12" s="122" t="n">
        <x:f>'Publications'!D7</x:f>
        <x:v>46339</x:v>
      </x:c>
      <x:c r="D12" s="121" t="str">
        <x:f>'Publications'!E7</x:f>
        <x:v>Segmentation</x:v>
      </x:c>
      <x:c r="E12" s="121" t="str">
        <x:f>'Publications'!F7</x:f>
        <x:v>Planned</x:v>
      </x:c>
      <x:c r="F12" s="123" t="str">
        <x:f>'Publications'!G7</x:f>
        <x:v>Oct</x:v>
      </x:c>
    </x:row>
    <x:row r="13" ht="26" customHeight="1">
      <x:c r="A13" s="120" t="n">
        <x:f>'Publications'!A8</x:f>
        <x:v>2027</x:v>
      </x:c>
      <x:c r="B13" s="121" t="str">
        <x:f>'Publications'!B8</x:f>
        <x:v>Nature</x:v>
      </x:c>
      <x:c r="C13" s="122" t="n">
        <x:f>'Publications'!D8</x:f>
        <x:v>46376</x:v>
      </x:c>
      <x:c r="D13" s="121" t="str">
        <x:f>'Publications'!E8</x:f>
        <x:v>INCLAIR</x:v>
      </x:c>
      <x:c r="E13" s="121" t="str">
        <x:f>'Publications'!F8</x:f>
        <x:v>Planned</x:v>
      </x:c>
      <x:c r="F13" s="123" t="str">
        <x:f>'Publications'!G8</x:f>
        <x:v>Nov</x:v>
      </x:c>
    </x:row>
    <x:row r="14" ht="26" customHeight="1">
      <x:c r="A14" s="124" t="n">
        <x:f>'Publications'!A9</x:f>
        <x:v>2027</x:v>
      </x:c>
      <x:c r="B14" s="125" t="str">
        <x:f>'Publications'!B9</x:f>
        <x:v>ACL</x:v>
      </x:c>
      <x:c r="C14" s="126" t="n">
        <x:f>'Publications'!D9</x:f>
        <x:v>46415</x:v>
      </x:c>
      <x:c r="D14" s="125" t="str">
        <x:f>'Publications'!E9</x:f>
        <x:v>MedLLM</x:v>
      </x:c>
      <x:c r="E14" s="125" t="str">
        <x:f>'Publications'!F9</x:f>
        <x:v>Planned</x:v>
      </x:c>
      <x:c r="F14" s="127" t="str">
        <x:f>'Publications'!G9</x:f>
        <x:v>Dec</x:v>
      </x:c>
    </x:row>
    <x:row r="16">
      <x:c r="A16" s="142" t="str">
        <x:v>Edit the Publications sheet, then run python3 scripts/generate_readme.py. Deadline years are cycle-aware assumptions and should be verified.</x:v>
      </x:c>
      <x:c r="B16" s="143"/>
      <x:c r="C16" s="143"/>
      <x:c r="D16" s="143"/>
      <x:c r="E16" s="143"/>
      <x:c r="F16" s="144"/>
    </x:row>
    <x:row r="17">
      <x:c r="A17" s="145"/>
      <x:c r="B17" s="146"/>
      <x:c r="C17" s="146"/>
      <x:c r="D17" s="146"/>
      <x:c r="E17" s="146"/>
      <x:c r="F17" s="147"/>
    </x:row>
  </x:sheetData>
  <x:mergeCells>
    <x:mergeCell ref="A1:F2"/>
    <x:mergeCell ref="A4:B4"/>
    <x:mergeCell ref="C4:D4"/>
    <x:mergeCell ref="E4:F4"/>
    <x:mergeCell ref="A5:B6"/>
    <x:mergeCell ref="C5:D6"/>
    <x:mergeCell ref="E5:F6"/>
    <x:mergeCell ref="A8:F8"/>
    <x:mergeCell ref="A16:F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>
      <x:c r="A1" s="148" t="str">
        <x:v>Status</x:v>
      </x:c>
      <x:c r="B1" s="148" t="str">
        <x:v>Priority</x:v>
      </x:c>
      <x:c r="C1" s="148" t="str">
        <x:v>Type</x:v>
      </x:c>
    </x:row>
    <x:row r="2">
      <x:c r="A2" s="149" t="str">
        <x:v>Accepted</x:v>
      </x:c>
      <x:c r="B2" s="149" t="str">
        <x:v>High</x:v>
      </x:c>
      <x:c r="C2" s="149" t="str">
        <x:v>Conference</x:v>
      </x:c>
    </x:row>
    <x:row r="3">
      <x:c r="A3" s="149" t="str">
        <x:v>Submitted</x:v>
      </x:c>
      <x:c r="B3" s="149" t="str">
        <x:v>Medium</x:v>
      </x:c>
      <x:c r="C3" s="149" t="str">
        <x:v>Workshop</x:v>
      </x:c>
    </x:row>
    <x:row r="4">
      <x:c r="A4" s="149" t="str">
        <x:v>In Review</x:v>
      </x:c>
      <x:c r="B4" s="149" t="str">
        <x:v>Low</x:v>
      </x:c>
      <x:c r="C4" s="149" t="str">
        <x:v>Journal</x:v>
      </x:c>
    </x:row>
    <x:row r="5">
      <x:c r="A5" s="149" t="str">
        <x:v>Revision</x:v>
      </x:c>
      <x:c r="B5" s="149" t="str">
        <x:v>Archive</x:v>
      </x:c>
      <x:c r="C5" s="149"/>
    </x:row>
    <x:row r="6">
      <x:c r="A6" s="149" t="str">
        <x:v>Planned</x:v>
      </x:c>
      <x:c r="B6" s="149"/>
      <x:c r="C6" s="149"/>
    </x:row>
    <x:row r="7">
      <x:c r="A7" s="149" t="str">
        <x:v>On Hold</x:v>
      </x:c>
      <x:c r="B7" s="149"/>
      <x:c r="C7" s="149"/>
    </x:row>
    <x:row r="8">
      <x:c r="A8" s="149" t="str">
        <x:v>Withdrawn</x:v>
      </x:c>
      <x:c r="B8" s="149"/>
      <x:c r="C8" s="149"/>
    </x:row>
    <x:row r="9">
      <x:c r="A9" s="150" t="str">
        <x:v>Rejected</x:v>
      </x:c>
      <x:c r="B9" s="150"/>
      <x:c r="C9" s="150"/>
    </x:row>
  </x:sheetData>
  <x:pageMargins left="0.7" right="0.7" top="0.75" bottom="0.75" header="0.3" footer="0.3"/>
</x:worksheet>
</file>